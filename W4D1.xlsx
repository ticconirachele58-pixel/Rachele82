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3048dad34f787/Desktop/Epicode/ESERCIZI/"/>
    </mc:Choice>
  </mc:AlternateContent>
  <xr:revisionPtr revIDLastSave="132" documentId="8_{5FA06252-B98F-4A11-A0D7-3D4D7E1E898D}" xr6:coauthVersionLast="47" xr6:coauthVersionMax="47" xr10:uidLastSave="{724F21D7-7AD1-498A-80BB-4F7EAEA33B18}"/>
  <bookViews>
    <workbookView xWindow="-120" yWindow="-120" windowWidth="29040" windowHeight="15720" activeTab="2" xr2:uid="{EEDD21FB-8DF7-4343-B598-DE45F8A24D53}"/>
  </bookViews>
  <sheets>
    <sheet name="Data" sheetId="2" r:id="rId1"/>
    <sheet name="Media x Continente" sheetId="4" r:id="rId2"/>
    <sheet name="Foglio5" sheetId="7" r:id="rId3"/>
    <sheet name="Continenti" sheetId="1" r:id="rId4"/>
  </sheets>
  <definedNames>
    <definedName name="_xlcn.WorksheetConnection_W4D1.xlsxData1" hidden="1">Data[]</definedName>
    <definedName name="_xlcn.WorksheetConnection_W4D1.xlsxTabella21" hidden="1">Tabella2[]</definedName>
    <definedName name="_xlcn.WorksheetConnection_W4D1.xlsxTabella51" hidden="1">Tabella5</definedName>
    <definedName name="DatiEsterni_1" localSheetId="0" hidden="1">Data!$A$1:$G$16</definedName>
    <definedName name="FiltroDati_Country_Name">#N/A</definedName>
    <definedName name="FiltroDati_Series_Name">#N/A</definedName>
  </definedNames>
  <calcPr calcId="191029"/>
  <pivotCaches>
    <pivotCache cacheId="217" r:id="rId5"/>
    <pivotCache cacheId="264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a2" name="Tabella2" connection="WorksheetConnection_W4D1.xlsx!Tabella2"/>
          <x15:modelTable id="Data" name="Data" connection="WorksheetConnection_W4D1.xlsx!Data"/>
          <x15:modelTable id="Tabella5" name="Tabella5" connection="WorksheetConnection_W4D1.xlsx!Tabella5"/>
        </x15:modelTables>
        <x15:modelRelationships>
          <x15:modelRelationship fromTable="Data" fromColumn="Country Name" toTable="Tabella2" toColumn="Country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67765B-5FBD-4D35-A816-6C36F7E764F2}" keepAlive="1" name="Query - Data" description="Connessione alla query 'Data' nella cartella di lavoro." type="5" refreshedVersion="8" background="1" saveData="1">
    <dbPr connection="Provider=Microsoft.Mashup.OleDb.1;Data Source=$Workbook$;Location=Data;Extended Properties=&quot;&quot;" command="SELECT * FROM [Data]"/>
  </connection>
  <connection id="2" xr16:uid="{72836C4F-D071-486D-8C0E-8C3FE5652FAD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FFA5810-7AB7-4E12-A132-7377FB164739}" name="WorksheetConnection_W4D1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W4D1.xlsxData1"/>
        </x15:connection>
      </ext>
    </extLst>
  </connection>
  <connection id="4" xr16:uid="{975541D8-DC14-4E85-AB5D-43746FB6CC1C}" name="WorksheetConnection_W4D1.xlsx!Tabella2" type="102" refreshedVersion="8" minRefreshableVersion="5">
    <extLst>
      <ext xmlns:x15="http://schemas.microsoft.com/office/spreadsheetml/2010/11/main" uri="{DE250136-89BD-433C-8126-D09CA5730AF9}">
        <x15:connection id="Tabella2">
          <x15:rangePr sourceName="_xlcn.WorksheetConnection_W4D1.xlsxTabella21"/>
        </x15:connection>
      </ext>
    </extLst>
  </connection>
  <connection id="5" xr16:uid="{7EBE8E59-ACF8-4E7D-B931-45B8EE9DA572}" name="WorksheetConnection_W4D1.xlsx!Tabella5" type="102" refreshedVersion="8" minRefreshableVersion="5">
    <extLst>
      <ext xmlns:x15="http://schemas.microsoft.com/office/spreadsheetml/2010/11/main" uri="{DE250136-89BD-433C-8126-D09CA5730AF9}">
        <x15:connection id="Tabella5">
          <x15:rangePr sourceName="_xlcn.WorksheetConnection_W4D1.xlsxTabella51"/>
        </x15:connection>
      </ext>
    </extLst>
  </connection>
</connections>
</file>

<file path=xl/sharedStrings.xml><?xml version="1.0" encoding="utf-8"?>
<sst xmlns="http://schemas.openxmlformats.org/spreadsheetml/2006/main" count="129" uniqueCount="36">
  <si>
    <t>Country Name</t>
  </si>
  <si>
    <t>Country Code</t>
  </si>
  <si>
    <t>Series Name</t>
  </si>
  <si>
    <t>Series Code</t>
  </si>
  <si>
    <t>Italy</t>
  </si>
  <si>
    <t>ITA</t>
  </si>
  <si>
    <t>GDP (current US$)</t>
  </si>
  <si>
    <t>NY.GDP.MKTP.CD</t>
  </si>
  <si>
    <t>Population growth (annual %)</t>
  </si>
  <si>
    <t>SP.POP.GROW</t>
  </si>
  <si>
    <t>Life expectancy at birth, total (years)</t>
  </si>
  <si>
    <t>SP.DYN.LE00.IN</t>
  </si>
  <si>
    <t>United States</t>
  </si>
  <si>
    <t>USA</t>
  </si>
  <si>
    <t>Nigeria</t>
  </si>
  <si>
    <t>NGA</t>
  </si>
  <si>
    <t>Brazil</t>
  </si>
  <si>
    <t>BRA</t>
  </si>
  <si>
    <t>China</t>
  </si>
  <si>
    <t>CHN</t>
  </si>
  <si>
    <t>Continente</t>
  </si>
  <si>
    <t>Europa</t>
  </si>
  <si>
    <t>America</t>
  </si>
  <si>
    <t>Africa</t>
  </si>
  <si>
    <t>Sud America</t>
  </si>
  <si>
    <t>Asia</t>
  </si>
  <si>
    <t>Etichette di riga</t>
  </si>
  <si>
    <t>Totale complessivo</t>
  </si>
  <si>
    <t>2022</t>
  </si>
  <si>
    <t>2023</t>
  </si>
  <si>
    <t>2024</t>
  </si>
  <si>
    <t>Somma di 2022</t>
  </si>
  <si>
    <t>Somma di 2023</t>
  </si>
  <si>
    <t>Somma di 2024</t>
  </si>
  <si>
    <t>Somma di tasso di crescita</t>
  </si>
  <si>
    <t>Tasso di Crescita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</si>
</sst>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Font="1"/>
    <xf numFmtId="9" fontId="0" fillId="0" borderId="0" xfId="1" applyFont="1"/>
  </cellXfs>
  <cellStyles count="2">
    <cellStyle name="Normale" xfId="0" builtinId="0"/>
    <cellStyle name="Percentuale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66675</xdr:colOff>
      <xdr:row>18</xdr:row>
      <xdr:rowOff>19050</xdr:rowOff>
    </xdr:from>
    <xdr:to>
      <xdr:col>5</xdr:col>
      <xdr:colOff>847725</xdr:colOff>
      <xdr:row>32</xdr:row>
      <xdr:rowOff>19050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ountry Name">
              <a:extLst>
                <a:ext uri="{FF2B5EF4-FFF2-40B4-BE49-F238E27FC236}">
                  <a16:creationId xmlns:a16="http://schemas.microsoft.com/office/drawing/2014/main" id="{F26E6D8B-D6CA-F4DB-E4DE-1649F09FE3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0" y="34480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di tabella. I filtri dei dati di tabella non sono supportati in questa versione di Excel
Se la forma è stata modificata in una versione precedente di Excel o se la cartella di lavoro è stata salvata in Excel 2007 o versione precedente,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152400</xdr:colOff>
      <xdr:row>18</xdr:row>
      <xdr:rowOff>19050</xdr:rowOff>
    </xdr:from>
    <xdr:to>
      <xdr:col>2</xdr:col>
      <xdr:colOff>1981200</xdr:colOff>
      <xdr:row>32</xdr:row>
      <xdr:rowOff>19050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Series Name">
              <a:extLst>
                <a:ext uri="{FF2B5EF4-FFF2-40B4-BE49-F238E27FC236}">
                  <a16:creationId xmlns:a16="http://schemas.microsoft.com/office/drawing/2014/main" id="{9CB63895-FE63-624C-7148-5ED42EFF0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ies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4575" y="34480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di tabella. I filtri dei dati di tabella non sono supportati in questa versione di Excel
Se la forma è stata modificata in una versione precedente di Excel o se la cartella di lavoro è stata salvata in Excel 2007 o versione precedente, non è possibile usare il filtro dei dati.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berto Ticconi" refreshedDate="46102.808462499997" backgroundQuery="1" createdVersion="8" refreshedVersion="8" minRefreshableVersion="3" recordCount="0" supportSubquery="1" supportAdvancedDrill="1" xr:uid="{6C65DCC1-F920-4EBE-949A-AD4787315743}">
  <cacheSource type="external" connectionId="2"/>
  <cacheFields count="6">
    <cacheField name="[Tabella2].[Continente].[Continente]" caption="Continente" numFmtId="0" hierarchy="8" level="1">
      <sharedItems count="5">
        <s v="Africa"/>
        <s v="America"/>
        <s v="Asia"/>
        <s v="Europa"/>
        <s v="Sud America"/>
      </sharedItems>
    </cacheField>
    <cacheField name="[Data].[Series Name].[Series Name]" caption="Series Name" numFmtId="0" hierarchy="2" level="1">
      <sharedItems count="3">
        <s v="GDP (current US$)"/>
        <s v="Life expectancy at birth, total (years)"/>
        <s v="Population growth (annual %)"/>
      </sharedItems>
    </cacheField>
    <cacheField name="[Measures].[Somma di 2022]" caption="Somma di 2022" numFmtId="0" hierarchy="15" level="32767"/>
    <cacheField name="[Measures].[Somma di 2023]" caption="Somma di 2023" numFmtId="0" hierarchy="16" level="32767"/>
    <cacheField name="[Measures].[Somma di 2024]" caption="Somma di 2024" numFmtId="0" hierarchy="17" level="32767"/>
    <cacheField name="[Measures].[Somma di tasso di crescita]" caption="Somma di tasso di crescita" numFmtId="0" hierarchy="21" level="32767"/>
  </cacheFields>
  <cacheHierarchies count="22">
    <cacheHierarchy uniqueName="[Data].[Country Name]" caption="Country Name" attribute="1" defaultMemberUniqueName="[Data].[Country Name].[All]" allUniqueName="[Data].[Country Name].[All]" dimensionUniqueName="[Data]" displayFolder="" count="0" memberValueDatatype="130" unbalanced="0"/>
    <cacheHierarchy uniqueName="[Data].[Country Code]" caption="Country Code" attribute="1" defaultMemberUniqueName="[Data].[Country Code].[All]" allUniqueName="[Data].[Country Code].[All]" dimensionUniqueName="[Data]" displayFolder="" count="0" memberValueDatatype="130" unbalanced="0"/>
    <cacheHierarchy uniqueName="[Data].[Series Name]" caption="Series Name" attribute="1" defaultMemberUniqueName="[Data].[Series Name].[All]" allUniqueName="[Data].[Series Name].[All]" dimensionUniqueName="[Data]" displayFolder="" count="2" memberValueDatatype="130" unbalanced="0">
      <fieldsUsage count="2">
        <fieldUsage x="-1"/>
        <fieldUsage x="1"/>
      </fieldsUsage>
    </cacheHierarchy>
    <cacheHierarchy uniqueName="[Data].[Series Code]" caption="Series Code" attribute="1" defaultMemberUniqueName="[Data].[Series Code].[All]" allUniqueName="[Data].[Series Code].[All]" dimensionUniqueName="[Data]" displayFolder="" count="0" memberValueDatatype="130" unbalanced="0"/>
    <cacheHierarchy uniqueName="[Data].[2022]" caption="2022" attribute="1" defaultMemberUniqueName="[Data].[2022].[All]" allUniqueName="[Data].[2022].[All]" dimensionUniqueName="[Data]" displayFolder="" count="0" memberValueDatatype="5" unbalanced="0"/>
    <cacheHierarchy uniqueName="[Data].[2023]" caption="2023" attribute="1" defaultMemberUniqueName="[Data].[2023].[All]" allUniqueName="[Data].[2023].[All]" dimensionUniqueName="[Data]" displayFolder="" count="0" memberValueDatatype="5" unbalanced="0"/>
    <cacheHierarchy uniqueName="[Data].[2024]" caption="2024" attribute="1" defaultMemberUniqueName="[Data].[2024].[All]" allUniqueName="[Data].[2024].[All]" dimensionUniqueName="[Data]" displayFolder="" count="0" memberValueDatatype="5" unbalanced="0"/>
    <cacheHierarchy uniqueName="[Data].[tasso di crescita]" caption="tasso di crescita" attribute="1" defaultMemberUniqueName="[Data].[tasso di crescita].[All]" allUniqueName="[Data].[tasso di crescita].[All]" dimensionUniqueName="[Data]" displayFolder="" count="0" memberValueDatatype="5" unbalanced="0"/>
    <cacheHierarchy uniqueName="[Tabella2].[Continente]" caption="Continente" attribute="1" defaultMemberUniqueName="[Tabella2].[Continente].[All]" allUniqueName="[Tabella2].[Continente].[All]" dimensionUniqueName="[Tabella2]" displayFolder="" count="2" memberValueDatatype="130" unbalanced="0">
      <fieldsUsage count="2">
        <fieldUsage x="-1"/>
        <fieldUsage x="0"/>
      </fieldsUsage>
    </cacheHierarchy>
    <cacheHierarchy uniqueName="[Tabella2].[Country Name]" caption="Country Name" attribute="1" defaultMemberUniqueName="[Tabella2].[Country Name].[All]" allUniqueName="[Tabella2].[Country Name].[All]" dimensionUniqueName="[Tabella2]" displayFolder="" count="0" memberValueDatatype="130" unbalanced="0"/>
    <cacheHierarchy uniqueName="[Tabella5].[Colonna1]" caption="Colonna1" attribute="1" defaultMemberUniqueName="[Tabella5].[Colonna1].[All]" allUniqueName="[Tabella5].[Colonna1].[All]" dimensionUniqueName="[Tabella5]" displayFolder="" count="0" memberValueDatatype="130" unbalanced="0"/>
    <cacheHierarchy uniqueName="[Measures].[__XL_Count Tabella2]" caption="__XL_Count Tabella2" measure="1" displayFolder="" measureGroup="Tabella2" count="0" hidden="1"/>
    <cacheHierarchy uniqueName="[Measures].[__XL_Count Data]" caption="__XL_Count Data" measure="1" displayFolder="" measureGroup="Data" count="0" hidden="1"/>
    <cacheHierarchy uniqueName="[Measures].[__XL_Count Tabella5]" caption="__XL_Count Tabella5" measure="1" displayFolder="" measureGroup="Tabella5" count="0" hidden="1"/>
    <cacheHierarchy uniqueName="[Measures].[__Nessuna misura definita]" caption="__Nessuna misura definita" measure="1" displayFolder="" count="0" hidden="1"/>
    <cacheHierarchy uniqueName="[Measures].[Somma di 2022]" caption="Somma di 2022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3]" caption="Somma di 2023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2024]" caption="Somma di 2024" measure="1" displayFolder="" measureGroup="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2022]" caption="Media di 2022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dia di 2023]" caption="Media di 2023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edia di 2024]" caption="Media di 2024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tasso di crescita]" caption="Somma di tasso di crescita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Data" uniqueName="[Data]" caption="Data"/>
    <dimension measure="1" name="Measures" uniqueName="[Measures]" caption="Measures"/>
    <dimension name="Tabella2" uniqueName="[Tabella2]" caption="Tabella2"/>
    <dimension name="Tabella5" uniqueName="[Tabella5]" caption="Tabella5"/>
  </dimensions>
  <measureGroups count="3">
    <measureGroup name="Data" caption="Data"/>
    <measureGroup name="Tabella2" caption="Tabella2"/>
    <measureGroup name="Tabella5" caption="Tabella5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berto Ticconi" refreshedDate="46102.821890856481" createdVersion="5" refreshedVersion="8" minRefreshableVersion="3" recordCount="0" supportSubquery="1" supportAdvancedDrill="1" xr:uid="{FEDEB58B-2B0A-40CB-8C45-AD03A5B842EB}">
  <cacheSource type="external" connectionId="2"/>
  <cacheFields count="3">
    <cacheField name="[Data].[Country Name].[Country Name]" caption="Country Name" numFmtId="0" level="1">
      <sharedItems count="5">
        <s v="Brazil"/>
        <s v="China"/>
        <s v="Italy"/>
        <s v="Nigeria"/>
        <s v="United States"/>
      </sharedItems>
    </cacheField>
    <cacheField name="[Measures].[Somma di 2022]" caption="Somma di 2022" numFmtId="0" hierarchy="15" level="32767"/>
    <cacheField name="[Data].[Series Name].[Series Name]" caption="Series Name" numFmtId="0" hierarchy="2" level="1">
      <sharedItems count="3">
        <s v="GDP (current US$)"/>
        <s v="Life expectancy at birth, total (years)"/>
        <s v="Population growth (annual %)"/>
      </sharedItems>
    </cacheField>
  </cacheFields>
  <cacheHierarchies count="22">
    <cacheHierarchy uniqueName="[Data].[Country Name]" caption="Country Name" attribute="1" defaultMemberUniqueName="[Data].[Country Name].[All]" allUniqueName="[Data].[Country Name].[All]" dimensionUniqueName="[Data]" displayFolder="" count="2" memberValueDatatype="130" unbalanced="0">
      <fieldsUsage count="2">
        <fieldUsage x="-1"/>
        <fieldUsage x="0"/>
      </fieldsUsage>
    </cacheHierarchy>
    <cacheHierarchy uniqueName="[Data].[Country Code]" caption="Country Code" attribute="1" defaultMemberUniqueName="[Data].[Country Code].[All]" allUniqueName="[Data].[Country Code].[All]" dimensionUniqueName="[Data]" displayFolder="" count="2" memberValueDatatype="130" unbalanced="0"/>
    <cacheHierarchy uniqueName="[Data].[Series Name]" caption="Series Name" attribute="1" defaultMemberUniqueName="[Data].[Series Name].[All]" allUniqueName="[Data].[Series Name].[All]" dimensionUniqueName="[Data]" displayFolder="" count="2" memberValueDatatype="130" unbalanced="0">
      <fieldsUsage count="2">
        <fieldUsage x="-1"/>
        <fieldUsage x="2"/>
      </fieldsUsage>
    </cacheHierarchy>
    <cacheHierarchy uniqueName="[Data].[Series Code]" caption="Series Code" attribute="1" defaultMemberUniqueName="[Data].[Series Code].[All]" allUniqueName="[Data].[Series Code].[All]" dimensionUniqueName="[Data]" displayFolder="" count="2" memberValueDatatype="130" unbalanced="0"/>
    <cacheHierarchy uniqueName="[Data].[2022]" caption="2022" attribute="1" defaultMemberUniqueName="[Data].[2022].[All]" allUniqueName="[Data].[2022].[All]" dimensionUniqueName="[Data]" displayFolder="" count="2" memberValueDatatype="5" unbalanced="0"/>
    <cacheHierarchy uniqueName="[Data].[2023]" caption="2023" attribute="1" defaultMemberUniqueName="[Data].[2023].[All]" allUniqueName="[Data].[2023].[All]" dimensionUniqueName="[Data]" displayFolder="" count="2" memberValueDatatype="5" unbalanced="0"/>
    <cacheHierarchy uniqueName="[Data].[2024]" caption="2024" attribute="1" defaultMemberUniqueName="[Data].[2024].[All]" allUniqueName="[Data].[2024].[All]" dimensionUniqueName="[Data]" displayFolder="" count="2" memberValueDatatype="5" unbalanced="0"/>
    <cacheHierarchy uniqueName="[Data].[tasso di crescita]" caption="tasso di crescita" attribute="1" defaultMemberUniqueName="[Data].[tasso di crescita].[All]" allUniqueName="[Data].[tasso di crescita].[All]" dimensionUniqueName="[Data]" displayFolder="" count="2" memberValueDatatype="5" unbalanced="0"/>
    <cacheHierarchy uniqueName="[Tabella2].[Continente]" caption="Continente" attribute="1" defaultMemberUniqueName="[Tabella2].[Continente].[All]" allUniqueName="[Tabella2].[Continente].[All]" dimensionUniqueName="[Tabella2]" displayFolder="" count="2" memberValueDatatype="130" unbalanced="0"/>
    <cacheHierarchy uniqueName="[Tabella2].[Country Name]" caption="Country Name" attribute="1" defaultMemberUniqueName="[Tabella2].[Country Name].[All]" allUniqueName="[Tabella2].[Country Name].[All]" dimensionUniqueName="[Tabella2]" displayFolder="" count="2" memberValueDatatype="130" unbalanced="0"/>
    <cacheHierarchy uniqueName="[Tabella5].[Colonna1]" caption="Colonna1" attribute="1" defaultMemberUniqueName="[Tabella5].[Colonna1].[All]" allUniqueName="[Tabella5].[Colonna1].[All]" dimensionUniqueName="[Tabella5]" displayFolder="" count="2" memberValueDatatype="130" unbalanced="0"/>
    <cacheHierarchy uniqueName="[Measures].[__XL_Count Tabella2]" caption="__XL_Count Tabella2" measure="1" displayFolder="" measureGroup="Tabella2" count="0" hidden="1"/>
    <cacheHierarchy uniqueName="[Measures].[__XL_Count Data]" caption="__XL_Count Data" measure="1" displayFolder="" measureGroup="Data" count="0" hidden="1"/>
    <cacheHierarchy uniqueName="[Measures].[__XL_Count Tabella5]" caption="__XL_Count Tabella5" measure="1" displayFolder="" measureGroup="Tabella5" count="0" hidden="1"/>
    <cacheHierarchy uniqueName="[Measures].[__Nessuna misura definita]" caption="__Nessuna misura definita" measure="1" displayFolder="" count="0" hidden="1"/>
    <cacheHierarchy uniqueName="[Measures].[Somma di 2022]" caption="Somma di 2022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2023]" caption="Somma di 2023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2024]" caption="Somma di 2024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2022]" caption="Media di 2022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edia di 2023]" caption="Media di 2023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edia di 2024]" caption="Media di 2024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tasso di crescita]" caption="Somma di tasso di crescita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Data" uniqueName="[Data]" caption="Data"/>
    <dimension measure="1" name="Measures" uniqueName="[Measures]" caption="Measures"/>
    <dimension name="Tabella2" uniqueName="[Tabella2]" caption="Tabella2"/>
    <dimension name="Tabella5" uniqueName="[Tabella5]" caption="Tabella5"/>
  </dimensions>
  <measureGroups count="3">
    <measureGroup name="Data" caption="Data"/>
    <measureGroup name="Tabella2" caption="Tabella2"/>
    <measureGroup name="Tabella5" caption="Tabella5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26970-7985-4B4D-A26C-E01A5AA854A6}" name="Tabella pivot5" cacheId="217" applyNumberFormats="0" applyBorderFormats="0" applyFontFormats="0" applyPatternFormats="0" applyAlignmentFormats="0" applyWidthHeightFormats="1" dataCaption="Valori" tag="dab665db-00cd-402b-9b37-301317d87d81" updatedVersion="8" minRefreshableVersion="3" useAutoFormatting="1" itemPrintTitles="1" createdVersion="8" indent="0" outline="1" outlineData="1" multipleFieldFilters="0">
  <location ref="A3:E24" firstHeaderRow="0" firstDataRow="1" firstDataCol="1"/>
  <pivotFields count="6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2022" fld="2" baseField="0" baseItem="0"/>
    <dataField name="Somma di 2023" fld="3" baseField="0" baseItem="0"/>
    <dataField name="Somma di 2024" fld="4" baseField="0" baseItem="0"/>
    <dataField name="Somma di tasso di crescita" fld="5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la2]"/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3F59D-6C7D-47E2-A630-13BD570F42C5}" name="Tabella pivot6" cacheId="264" applyNumberFormats="0" applyBorderFormats="0" applyFontFormats="0" applyPatternFormats="0" applyAlignmentFormats="0" applyWidthHeightFormats="1" dataCaption="Valori" tag="6414ee95-9cd8-4e8a-a25d-ede15558d40d" updatedVersion="8" minRefreshableVersion="3" useAutoFormatting="1" itemPrintTitles="1" createdVersion="5" indent="0" outline="1" outlineData="1" multipleFieldFilters="0">
  <location ref="B3:C24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21">
    <i>
      <x v="4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omma di 2022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AB4EF47-E144-4E50-899D-A7B0D6244349}" autoFormatId="16" applyNumberFormats="0" applyBorderFormats="0" applyFontFormats="0" applyPatternFormats="0" applyAlignmentFormats="0" applyWidthHeightFormats="0">
  <queryTableRefresh nextId="8">
    <queryTableFields count="7">
      <queryTableField id="1" name="Country Name" tableColumnId="1"/>
      <queryTableField id="2" name="Country Code" tableColumnId="2"/>
      <queryTableField id="3" name="Series Name" tableColumnId="3"/>
      <queryTableField id="4" name="Series Code" tableColumnId="4"/>
      <queryTableField id="5" name="2022 [YR2022]" tableColumnId="5"/>
      <queryTableField id="6" name="2023 [YR2023]" tableColumnId="6"/>
      <queryTableField id="7" name="2024 [YR2024]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ountry_Name" xr10:uid="{0C6AA79D-6D28-4505-B903-0A5CF6591559}" sourceName="Country Name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Series_Name" xr10:uid="{83B76919-6B8D-440E-A1E6-6E690D26C2DF}" sourceName="Series Name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Name" xr10:uid="{2B6A0F82-ABD7-4B1D-984D-72C940D1BDCE}" cache="FiltroDati_Country_Name" caption="Country Name" rowHeight="257175"/>
  <slicer name="Series Name" xr10:uid="{95796408-0620-4E87-AB0C-ACC15666DA56}" cache="FiltroDati_Series_Name" caption="Series Name" rowHeight="257175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DF1551D-EE67-46C4-9144-895547F72AB5}" name="Tabella11" displayName="Tabella11" ref="H1:H16" totalsRowShown="0" dataCellStyle="Percentuale">
  <autoFilter ref="H1:H16" xr:uid="{8DF1551D-EE67-46C4-9144-895547F72AB5}"/>
  <tableColumns count="1">
    <tableColumn id="1" xr3:uid="{DDF1E5C8-7790-431E-BA2B-857AD7481A05}" name="Tasso di Crescita" dataCellStyle="Percentuale">
      <calculatedColumnFormula>(Data[[#This Row],[2024]]-Data[[#This Row],[2022]])/Data[[#This Row],[2022]]*100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232CB-3593-4A57-B050-FAE4CDC14CA7}" name="Data" displayName="Data" ref="A1:G16" tableType="queryTable" totalsRowShown="0">
  <autoFilter ref="A1:G16" xr:uid="{61E232CB-3593-4A57-B050-FAE4CDC14CA7}"/>
  <tableColumns count="7">
    <tableColumn id="1" xr3:uid="{C6F5DB3F-8777-4BB4-9DD4-8E2B57A06A8D}" uniqueName="1" name="Country Name" queryTableFieldId="1" dataDxfId="4"/>
    <tableColumn id="2" xr3:uid="{7F785DDD-0AFD-4386-85A3-96320E98E7A7}" uniqueName="2" name="Country Code" queryTableFieldId="2" dataDxfId="3"/>
    <tableColumn id="3" xr3:uid="{04C1C8AC-0E35-4D07-9176-F89E398EB817}" uniqueName="3" name="Series Name" queryTableFieldId="3" dataDxfId="2"/>
    <tableColumn id="4" xr3:uid="{15AC2385-2D71-4ECC-B18F-2B64B86DCB5B}" uniqueName="4" name="Series Code" queryTableFieldId="4" dataDxfId="1"/>
    <tableColumn id="5" xr3:uid="{855BDCDD-541B-41DB-B58F-1854A64F8182}" uniqueName="5" name="2022" queryTableFieldId="5"/>
    <tableColumn id="6" xr3:uid="{4C178918-1C63-4F35-B24F-78F540C5930E}" uniqueName="6" name="2023" queryTableFieldId="6"/>
    <tableColumn id="7" xr3:uid="{51187F95-D4BF-4CFB-9216-2CA6B90E419E}" uniqueName="7" name="2024" queryTableFieldId="7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40908C-19A5-489B-9F81-1FDE72994620}" name="Tabella2" displayName="Tabella2" ref="A1:B6" totalsRowShown="0">
  <autoFilter ref="A1:B6" xr:uid="{E840908C-19A5-489B-9F81-1FDE72994620}"/>
  <tableColumns count="2">
    <tableColumn id="1" xr3:uid="{94AF241D-7773-4851-9BB4-5802BFCA22B3}" name="Continente"/>
    <tableColumn id="2" xr3:uid="{0C94482E-B1DD-416E-BA9C-F3D76D9172BA}" name="Country Name" dataDxfId="5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2739-4D57-4A8D-A559-723336AA7B51}">
  <dimension ref="A1:K25"/>
  <sheetViews>
    <sheetView workbookViewId="0">
      <selection activeCell="G25" sqref="G25"/>
    </sheetView>
  </sheetViews>
  <sheetFormatPr defaultRowHeight="15" x14ac:dyDescent="0.25"/>
  <cols>
    <col min="1" max="1" width="16.42578125" bestFit="1" customWidth="1"/>
    <col min="2" max="2" width="16" bestFit="1" customWidth="1"/>
    <col min="3" max="3" width="33.140625" bestFit="1" customWidth="1"/>
    <col min="4" max="4" width="16.28515625" bestFit="1" customWidth="1"/>
    <col min="5" max="7" width="15.7109375" bestFit="1" customWidth="1"/>
    <col min="8" max="8" width="26.85546875" customWidth="1"/>
    <col min="10" max="10" width="11.7109375" customWidth="1"/>
    <col min="12" max="12" width="28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30</v>
      </c>
      <c r="H1" t="s">
        <v>35</v>
      </c>
    </row>
    <row r="2" spans="1:10" x14ac:dyDescent="0.25">
      <c r="A2" s="3" t="s">
        <v>4</v>
      </c>
      <c r="B2" t="s">
        <v>5</v>
      </c>
      <c r="C2" t="s">
        <v>6</v>
      </c>
      <c r="D2" t="s">
        <v>7</v>
      </c>
      <c r="E2">
        <v>2104067630319.4634</v>
      </c>
      <c r="F2">
        <v>2316727999333.1782</v>
      </c>
      <c r="G2">
        <v>2380825077244</v>
      </c>
      <c r="H2" s="9">
        <f>(Data[[#This Row],[2024]]-Data[[#This Row],[2022]])/Data[[#This Row],[2022]]*100</f>
        <v>13.153448251210259</v>
      </c>
    </row>
    <row r="3" spans="1:10" x14ac:dyDescent="0.25">
      <c r="A3" s="3" t="s">
        <v>4</v>
      </c>
      <c r="B3" t="s">
        <v>5</v>
      </c>
      <c r="C3" t="s">
        <v>8</v>
      </c>
      <c r="D3" t="s">
        <v>9</v>
      </c>
      <c r="E3">
        <v>-0.20230086688254001</v>
      </c>
      <c r="F3">
        <v>-4.9917845749055598E-2</v>
      </c>
      <c r="G3">
        <v>0</v>
      </c>
      <c r="H3" s="9">
        <f>(Data[[#This Row],[2024]]-Data[[#This Row],[2022]])/Data[[#This Row],[2022]]*100</f>
        <v>-100</v>
      </c>
    </row>
    <row r="4" spans="1:10" x14ac:dyDescent="0.25">
      <c r="A4" s="3" t="s">
        <v>4</v>
      </c>
      <c r="B4" t="s">
        <v>5</v>
      </c>
      <c r="C4" t="s">
        <v>10</v>
      </c>
      <c r="D4" t="s">
        <v>11</v>
      </c>
      <c r="E4">
        <v>82.700000000000017</v>
      </c>
      <c r="F4">
        <v>83.700000000000017</v>
      </c>
      <c r="H4" s="9">
        <f>(Data[[#This Row],[2024]]-Data[[#This Row],[2022]])/Data[[#This Row],[2022]]*100</f>
        <v>-100</v>
      </c>
    </row>
    <row r="5" spans="1:10" x14ac:dyDescent="0.25">
      <c r="A5" s="3" t="s">
        <v>12</v>
      </c>
      <c r="B5" t="s">
        <v>13</v>
      </c>
      <c r="C5" t="s">
        <v>6</v>
      </c>
      <c r="D5" t="s">
        <v>7</v>
      </c>
      <c r="E5">
        <v>25604848907611</v>
      </c>
      <c r="F5">
        <v>27292170793214.398</v>
      </c>
      <c r="G5">
        <v>28750956130731</v>
      </c>
      <c r="H5" s="9">
        <f>(Data[[#This Row],[2024]]-Data[[#This Row],[2022]])/Data[[#This Row],[2022]]*100</f>
        <v>12.287154024895749</v>
      </c>
    </row>
    <row r="6" spans="1:10" x14ac:dyDescent="0.25">
      <c r="A6" s="3" t="s">
        <v>12</v>
      </c>
      <c r="B6" t="s">
        <v>13</v>
      </c>
      <c r="C6" t="s">
        <v>8</v>
      </c>
      <c r="D6" t="s">
        <v>9</v>
      </c>
      <c r="E6">
        <v>0.57574452049452096</v>
      </c>
      <c r="F6">
        <v>0.83149318773707004</v>
      </c>
      <c r="G6">
        <v>1</v>
      </c>
      <c r="H6" s="9">
        <f>(Data[[#This Row],[2024]]-Data[[#This Row],[2022]])/Data[[#This Row],[2022]]*100</f>
        <v>73.688148893032562</v>
      </c>
    </row>
    <row r="7" spans="1:10" x14ac:dyDescent="0.25">
      <c r="A7" s="3" t="s">
        <v>12</v>
      </c>
      <c r="B7" t="s">
        <v>13</v>
      </c>
      <c r="C7" t="s">
        <v>10</v>
      </c>
      <c r="D7" t="s">
        <v>11</v>
      </c>
      <c r="E7">
        <v>77.434146341463432</v>
      </c>
      <c r="F7">
        <v>78.385365853658541</v>
      </c>
      <c r="H7" s="9">
        <f>(Data[[#This Row],[2024]]-Data[[#This Row],[2022]])/Data[[#This Row],[2022]]*100</f>
        <v>-100</v>
      </c>
    </row>
    <row r="8" spans="1:10" x14ac:dyDescent="0.25">
      <c r="A8" s="3" t="s">
        <v>14</v>
      </c>
      <c r="B8" t="s">
        <v>15</v>
      </c>
      <c r="C8" t="s">
        <v>6</v>
      </c>
      <c r="D8" t="s">
        <v>7</v>
      </c>
      <c r="E8">
        <v>646950257577.81396</v>
      </c>
      <c r="F8">
        <v>487387801880.59674</v>
      </c>
      <c r="G8">
        <v>252261880141</v>
      </c>
      <c r="H8" s="9">
        <f>(Data[[#This Row],[2024]]-Data[[#This Row],[2022]])/Data[[#This Row],[2022]]*100</f>
        <v>-61.00753076666664</v>
      </c>
    </row>
    <row r="9" spans="1:10" x14ac:dyDescent="0.25">
      <c r="A9" s="3" t="s">
        <v>14</v>
      </c>
      <c r="B9" t="s">
        <v>15</v>
      </c>
      <c r="C9" t="s">
        <v>8</v>
      </c>
      <c r="D9" t="s">
        <v>9</v>
      </c>
      <c r="E9">
        <v>2.09281687128387</v>
      </c>
      <c r="F9">
        <v>2.0983891693573802</v>
      </c>
      <c r="G9">
        <v>2</v>
      </c>
      <c r="H9" s="9">
        <f>(Data[[#This Row],[2024]]-Data[[#This Row],[2022]])/Data[[#This Row],[2022]]*100</f>
        <v>-4.4350211696702369</v>
      </c>
    </row>
    <row r="10" spans="1:10" x14ac:dyDescent="0.25">
      <c r="A10" s="3" t="s">
        <v>14</v>
      </c>
      <c r="B10" t="s">
        <v>15</v>
      </c>
      <c r="C10" t="s">
        <v>10</v>
      </c>
      <c r="D10" t="s">
        <v>11</v>
      </c>
      <c r="E10">
        <v>54.079000000000001</v>
      </c>
      <c r="F10">
        <v>54.462000000000003</v>
      </c>
      <c r="H10" s="9">
        <f>(Data[[#This Row],[2024]]-Data[[#This Row],[2022]])/Data[[#This Row],[2022]]*100</f>
        <v>-100</v>
      </c>
    </row>
    <row r="11" spans="1:10" x14ac:dyDescent="0.25">
      <c r="A11" s="3" t="s">
        <v>16</v>
      </c>
      <c r="B11" t="s">
        <v>17</v>
      </c>
      <c r="C11" t="s">
        <v>6</v>
      </c>
      <c r="D11" t="s">
        <v>7</v>
      </c>
      <c r="E11">
        <v>1951923832083.8743</v>
      </c>
      <c r="F11">
        <v>2191131869706.0227</v>
      </c>
      <c r="G11">
        <v>2185821648944</v>
      </c>
      <c r="H11" s="9">
        <f>(Data[[#This Row],[2024]]-Data[[#This Row],[2022]])/Data[[#This Row],[2022]]*100</f>
        <v>11.982937705638665</v>
      </c>
    </row>
    <row r="12" spans="1:10" x14ac:dyDescent="0.25">
      <c r="A12" s="3" t="s">
        <v>16</v>
      </c>
      <c r="B12" t="s">
        <v>17</v>
      </c>
      <c r="C12" t="s">
        <v>8</v>
      </c>
      <c r="D12" t="s">
        <v>9</v>
      </c>
      <c r="E12">
        <v>0.36018089087216898</v>
      </c>
      <c r="F12">
        <v>0.39592869557499599</v>
      </c>
      <c r="G12">
        <v>0</v>
      </c>
      <c r="H12" s="9">
        <f>(Data[[#This Row],[2024]]-Data[[#This Row],[2022]])/Data[[#This Row],[2022]]*100</f>
        <v>-100</v>
      </c>
      <c r="J12" s="8"/>
    </row>
    <row r="13" spans="1:10" x14ac:dyDescent="0.25">
      <c r="A13" s="3" t="s">
        <v>16</v>
      </c>
      <c r="B13" t="s">
        <v>17</v>
      </c>
      <c r="C13" t="s">
        <v>10</v>
      </c>
      <c r="D13" t="s">
        <v>11</v>
      </c>
      <c r="E13">
        <v>74.872</v>
      </c>
      <c r="F13">
        <v>75.847999999999999</v>
      </c>
      <c r="H13" s="9">
        <f>(Data[[#This Row],[2024]]-Data[[#This Row],[2022]])/Data[[#This Row],[2022]]*100</f>
        <v>-100</v>
      </c>
    </row>
    <row r="14" spans="1:10" x14ac:dyDescent="0.25">
      <c r="A14" s="3" t="s">
        <v>18</v>
      </c>
      <c r="B14" t="s">
        <v>19</v>
      </c>
      <c r="C14" t="s">
        <v>6</v>
      </c>
      <c r="D14" t="s">
        <v>7</v>
      </c>
      <c r="E14">
        <v>18316765021690.156</v>
      </c>
      <c r="F14">
        <v>18270356654533.215</v>
      </c>
      <c r="G14">
        <v>18743803170827</v>
      </c>
      <c r="H14" s="9">
        <f>(Data[[#This Row],[2024]]-Data[[#This Row],[2022]])/Data[[#This Row],[2022]]*100</f>
        <v>2.3314059476722999</v>
      </c>
    </row>
    <row r="15" spans="1:10" x14ac:dyDescent="0.25">
      <c r="A15" s="3" t="s">
        <v>18</v>
      </c>
      <c r="B15" t="s">
        <v>19</v>
      </c>
      <c r="C15" t="s">
        <v>8</v>
      </c>
      <c r="D15" t="s">
        <v>9</v>
      </c>
      <c r="E15">
        <v>-1.30995013525784E-2</v>
      </c>
      <c r="F15">
        <v>-0.103794531589067</v>
      </c>
      <c r="G15">
        <v>0</v>
      </c>
      <c r="H15" s="9">
        <f>(Data[[#This Row],[2024]]-Data[[#This Row],[2022]])/Data[[#This Row],[2022]]*100</f>
        <v>-100</v>
      </c>
    </row>
    <row r="16" spans="1:10" x14ac:dyDescent="0.25">
      <c r="A16" s="3" t="s">
        <v>18</v>
      </c>
      <c r="B16" t="s">
        <v>19</v>
      </c>
      <c r="C16" t="s">
        <v>10</v>
      </c>
      <c r="D16" t="s">
        <v>11</v>
      </c>
      <c r="E16">
        <v>78.201999999999998</v>
      </c>
      <c r="F16">
        <v>77.953000000000003</v>
      </c>
      <c r="H16" s="9">
        <f>(Data[[#This Row],[2024]]-Data[[#This Row],[2022]])/Data[[#This Row],[2022]]*100</f>
        <v>-100</v>
      </c>
    </row>
    <row r="22" spans="7:11" x14ac:dyDescent="0.25">
      <c r="K22" s="3"/>
    </row>
    <row r="24" spans="7:11" x14ac:dyDescent="0.25">
      <c r="I24" s="3"/>
    </row>
    <row r="25" spans="7:11" x14ac:dyDescent="0.25">
      <c r="G25" s="3"/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0F63-C8F9-44C6-8ED0-8C672BB475C2}">
  <dimension ref="A3:I31"/>
  <sheetViews>
    <sheetView workbookViewId="0">
      <selection activeCell="B5" sqref="B5"/>
    </sheetView>
  </sheetViews>
  <sheetFormatPr defaultRowHeight="15" x14ac:dyDescent="0.25"/>
  <cols>
    <col min="1" max="1" width="37" bestFit="1" customWidth="1"/>
    <col min="2" max="4" width="14.42578125" bestFit="1" customWidth="1"/>
    <col min="5" max="5" width="25.28515625" bestFit="1" customWidth="1"/>
    <col min="6" max="6" width="36.5703125" customWidth="1"/>
  </cols>
  <sheetData>
    <row r="3" spans="1:5" x14ac:dyDescent="0.25">
      <c r="A3" s="4" t="s">
        <v>26</v>
      </c>
      <c r="B3" t="s">
        <v>31</v>
      </c>
      <c r="C3" t="s">
        <v>32</v>
      </c>
      <c r="D3" t="s">
        <v>33</v>
      </c>
      <c r="E3" t="s">
        <v>34</v>
      </c>
    </row>
    <row r="4" spans="1:5" x14ac:dyDescent="0.25">
      <c r="A4" s="5" t="s">
        <v>23</v>
      </c>
      <c r="B4" s="7"/>
      <c r="C4" s="7"/>
      <c r="D4" s="7"/>
      <c r="E4" s="7"/>
    </row>
    <row r="5" spans="1:5" x14ac:dyDescent="0.25">
      <c r="A5" s="6" t="s">
        <v>6</v>
      </c>
      <c r="B5" s="7">
        <v>646950257577.81396</v>
      </c>
      <c r="C5" s="7">
        <v>487387801880.59674</v>
      </c>
      <c r="D5" s="7">
        <v>252261880141</v>
      </c>
      <c r="E5" s="7">
        <v>-61.00753076666664</v>
      </c>
    </row>
    <row r="6" spans="1:5" x14ac:dyDescent="0.25">
      <c r="A6" s="6" t="s">
        <v>10</v>
      </c>
      <c r="B6" s="7">
        <v>54.079000000000001</v>
      </c>
      <c r="C6" s="7">
        <v>54.462000000000003</v>
      </c>
      <c r="D6" s="7"/>
      <c r="E6" s="7">
        <v>-100</v>
      </c>
    </row>
    <row r="7" spans="1:5" x14ac:dyDescent="0.25">
      <c r="A7" s="6" t="s">
        <v>8</v>
      </c>
      <c r="B7" s="7">
        <v>2.09281687128387</v>
      </c>
      <c r="C7" s="7">
        <v>2.0983891693573802</v>
      </c>
      <c r="D7" s="7">
        <v>2</v>
      </c>
      <c r="E7" s="7">
        <v>-4.4350211696702369</v>
      </c>
    </row>
    <row r="8" spans="1:5" x14ac:dyDescent="0.25">
      <c r="A8" s="5" t="s">
        <v>22</v>
      </c>
      <c r="B8" s="7"/>
      <c r="C8" s="7"/>
      <c r="D8" s="7"/>
      <c r="E8" s="7"/>
    </row>
    <row r="9" spans="1:5" x14ac:dyDescent="0.25">
      <c r="A9" s="6" t="s">
        <v>6</v>
      </c>
      <c r="B9" s="7">
        <v>25604848907611</v>
      </c>
      <c r="C9" s="7">
        <v>27292170793214.398</v>
      </c>
      <c r="D9" s="7">
        <v>28750956130731</v>
      </c>
      <c r="E9" s="7">
        <v>12.287154024895749</v>
      </c>
    </row>
    <row r="10" spans="1:5" x14ac:dyDescent="0.25">
      <c r="A10" s="6" t="s">
        <v>10</v>
      </c>
      <c r="B10" s="7">
        <v>77.434146341463432</v>
      </c>
      <c r="C10" s="7">
        <v>78.385365853658541</v>
      </c>
      <c r="D10" s="7"/>
      <c r="E10" s="7">
        <v>-100</v>
      </c>
    </row>
    <row r="11" spans="1:5" x14ac:dyDescent="0.25">
      <c r="A11" s="6" t="s">
        <v>8</v>
      </c>
      <c r="B11" s="7">
        <v>0.57574452049452096</v>
      </c>
      <c r="C11" s="7">
        <v>0.83149318773707004</v>
      </c>
      <c r="D11" s="7">
        <v>1</v>
      </c>
      <c r="E11" s="7">
        <v>73.688148893032562</v>
      </c>
    </row>
    <row r="12" spans="1:5" x14ac:dyDescent="0.25">
      <c r="A12" s="5" t="s">
        <v>25</v>
      </c>
      <c r="B12" s="7"/>
      <c r="C12" s="7"/>
      <c r="D12" s="7"/>
      <c r="E12" s="7"/>
    </row>
    <row r="13" spans="1:5" x14ac:dyDescent="0.25">
      <c r="A13" s="6" t="s">
        <v>6</v>
      </c>
      <c r="B13" s="7">
        <v>18316765021690.156</v>
      </c>
      <c r="C13" s="7">
        <v>18270356654533.215</v>
      </c>
      <c r="D13" s="7">
        <v>18743803170827</v>
      </c>
      <c r="E13" s="7">
        <v>2.3314059476722999</v>
      </c>
    </row>
    <row r="14" spans="1:5" x14ac:dyDescent="0.25">
      <c r="A14" s="6" t="s">
        <v>10</v>
      </c>
      <c r="B14" s="7">
        <v>78.201999999999998</v>
      </c>
      <c r="C14" s="7">
        <v>77.953000000000003</v>
      </c>
      <c r="D14" s="7"/>
      <c r="E14" s="7">
        <v>-100</v>
      </c>
    </row>
    <row r="15" spans="1:5" x14ac:dyDescent="0.25">
      <c r="A15" s="6" t="s">
        <v>8</v>
      </c>
      <c r="B15" s="7">
        <v>-1.30995013525784E-2</v>
      </c>
      <c r="C15" s="7">
        <v>-0.103794531589067</v>
      </c>
      <c r="D15" s="7">
        <v>0</v>
      </c>
      <c r="E15" s="7">
        <v>-100</v>
      </c>
    </row>
    <row r="16" spans="1:5" x14ac:dyDescent="0.25">
      <c r="A16" s="5" t="s">
        <v>21</v>
      </c>
      <c r="B16" s="7"/>
      <c r="C16" s="7"/>
      <c r="D16" s="7"/>
      <c r="E16" s="7"/>
    </row>
    <row r="17" spans="1:9" x14ac:dyDescent="0.25">
      <c r="A17" s="6" t="s">
        <v>6</v>
      </c>
      <c r="B17" s="7">
        <v>2104067630319.4634</v>
      </c>
      <c r="C17" s="7">
        <v>2316727999333.1782</v>
      </c>
      <c r="D17" s="7">
        <v>2380825077244</v>
      </c>
      <c r="E17" s="7">
        <v>13.153448251210259</v>
      </c>
    </row>
    <row r="18" spans="1:9" x14ac:dyDescent="0.25">
      <c r="A18" s="6" t="s">
        <v>10</v>
      </c>
      <c r="B18" s="7">
        <v>82.700000000000017</v>
      </c>
      <c r="C18" s="7">
        <v>83.700000000000017</v>
      </c>
      <c r="D18" s="7"/>
      <c r="E18" s="7">
        <v>-100</v>
      </c>
    </row>
    <row r="19" spans="1:9" x14ac:dyDescent="0.25">
      <c r="A19" s="6" t="s">
        <v>8</v>
      </c>
      <c r="B19" s="7">
        <v>-0.20230086688254001</v>
      </c>
      <c r="C19" s="7">
        <v>-4.9917845749055598E-2</v>
      </c>
      <c r="D19" s="7">
        <v>0</v>
      </c>
      <c r="E19" s="7">
        <v>-100</v>
      </c>
    </row>
    <row r="20" spans="1:9" x14ac:dyDescent="0.25">
      <c r="A20" s="5" t="s">
        <v>24</v>
      </c>
      <c r="B20" s="7"/>
      <c r="C20" s="7"/>
      <c r="D20" s="7"/>
      <c r="E20" s="7"/>
    </row>
    <row r="21" spans="1:9" x14ac:dyDescent="0.25">
      <c r="A21" s="6" t="s">
        <v>6</v>
      </c>
      <c r="B21" s="7">
        <v>1951923832083.8743</v>
      </c>
      <c r="C21" s="7">
        <v>2191131869706.0227</v>
      </c>
      <c r="D21" s="7">
        <v>2185821648944</v>
      </c>
      <c r="E21" s="7">
        <v>11.982937705638665</v>
      </c>
      <c r="G21" s="3"/>
      <c r="H21" s="3"/>
      <c r="I21" s="3"/>
    </row>
    <row r="22" spans="1:9" x14ac:dyDescent="0.25">
      <c r="A22" s="6" t="s">
        <v>10</v>
      </c>
      <c r="B22" s="7">
        <v>74.872</v>
      </c>
      <c r="C22" s="7">
        <v>75.847999999999999</v>
      </c>
      <c r="D22" s="7"/>
      <c r="E22" s="7">
        <v>-100</v>
      </c>
      <c r="G22" s="3"/>
      <c r="H22" s="3"/>
      <c r="I22" s="3"/>
    </row>
    <row r="23" spans="1:9" x14ac:dyDescent="0.25">
      <c r="A23" s="6" t="s">
        <v>8</v>
      </c>
      <c r="B23" s="7">
        <v>0.36018089087216898</v>
      </c>
      <c r="C23" s="7">
        <v>0.39592869557499599</v>
      </c>
      <c r="D23" s="7">
        <v>0</v>
      </c>
      <c r="E23" s="7">
        <v>-100</v>
      </c>
      <c r="G23" s="3"/>
      <c r="H23" s="3"/>
      <c r="I23" s="3"/>
    </row>
    <row r="24" spans="1:9" x14ac:dyDescent="0.25">
      <c r="A24" s="5" t="s">
        <v>27</v>
      </c>
      <c r="B24" s="7">
        <v>48624555649652.406</v>
      </c>
      <c r="C24" s="7">
        <v>50557775119040.93</v>
      </c>
      <c r="D24" s="7">
        <v>52313667907890</v>
      </c>
      <c r="E24" s="7">
        <v>-751.99945711388727</v>
      </c>
      <c r="G24" s="3"/>
      <c r="H24" s="3"/>
      <c r="I24" s="3"/>
    </row>
    <row r="25" spans="1:9" x14ac:dyDescent="0.25">
      <c r="G25" s="3"/>
      <c r="H25" s="3"/>
      <c r="I25" s="3"/>
    </row>
    <row r="26" spans="1:9" x14ac:dyDescent="0.25">
      <c r="G26" s="3"/>
      <c r="H26" s="3"/>
      <c r="I26" s="3"/>
    </row>
    <row r="31" spans="1:9" x14ac:dyDescent="0.25">
      <c r="B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738C-2A1B-429B-BBA1-7BB312FF2376}">
  <dimension ref="B3:G24"/>
  <sheetViews>
    <sheetView tabSelected="1" workbookViewId="0">
      <selection activeCell="G14" sqref="G14"/>
    </sheetView>
  </sheetViews>
  <sheetFormatPr defaultRowHeight="15" x14ac:dyDescent="0.25"/>
  <cols>
    <col min="2" max="2" width="37" bestFit="1" customWidth="1"/>
    <col min="3" max="3" width="14.42578125" bestFit="1" customWidth="1"/>
  </cols>
  <sheetData>
    <row r="3" spans="2:7" x14ac:dyDescent="0.25">
      <c r="B3" s="4" t="s">
        <v>26</v>
      </c>
      <c r="C3" t="s">
        <v>31</v>
      </c>
    </row>
    <row r="4" spans="2:7" x14ac:dyDescent="0.25">
      <c r="B4" s="5" t="s">
        <v>12</v>
      </c>
      <c r="C4" s="7"/>
    </row>
    <row r="5" spans="2:7" x14ac:dyDescent="0.25">
      <c r="B5" s="6" t="s">
        <v>6</v>
      </c>
      <c r="C5" s="7">
        <v>25604848907611</v>
      </c>
    </row>
    <row r="6" spans="2:7" x14ac:dyDescent="0.25">
      <c r="B6" s="6" t="s">
        <v>10</v>
      </c>
      <c r="C6" s="7">
        <v>77.434146341463432</v>
      </c>
    </row>
    <row r="7" spans="2:7" x14ac:dyDescent="0.25">
      <c r="B7" s="6" t="s">
        <v>8</v>
      </c>
      <c r="C7" s="7">
        <v>0.57574452049452096</v>
      </c>
    </row>
    <row r="8" spans="2:7" x14ac:dyDescent="0.25">
      <c r="B8" s="5" t="s">
        <v>18</v>
      </c>
      <c r="C8" s="7"/>
    </row>
    <row r="9" spans="2:7" x14ac:dyDescent="0.25">
      <c r="B9" s="6" t="s">
        <v>6</v>
      </c>
      <c r="C9" s="7">
        <v>18316765021690.156</v>
      </c>
    </row>
    <row r="10" spans="2:7" x14ac:dyDescent="0.25">
      <c r="B10" s="6" t="s">
        <v>10</v>
      </c>
      <c r="C10" s="7">
        <v>78.201999999999998</v>
      </c>
    </row>
    <row r="11" spans="2:7" x14ac:dyDescent="0.25">
      <c r="B11" s="6" t="s">
        <v>8</v>
      </c>
      <c r="C11" s="7">
        <v>-1.30995013525784E-2</v>
      </c>
    </row>
    <row r="12" spans="2:7" x14ac:dyDescent="0.25">
      <c r="B12" s="5" t="s">
        <v>4</v>
      </c>
      <c r="C12" s="7"/>
    </row>
    <row r="13" spans="2:7" x14ac:dyDescent="0.25">
      <c r="B13" s="6" t="s">
        <v>6</v>
      </c>
      <c r="C13" s="7">
        <v>2104067630319.4634</v>
      </c>
    </row>
    <row r="14" spans="2:7" x14ac:dyDescent="0.25">
      <c r="B14" s="6" t="s">
        <v>10</v>
      </c>
      <c r="C14" s="7">
        <v>82.700000000000017</v>
      </c>
      <c r="G14" s="3"/>
    </row>
    <row r="15" spans="2:7" x14ac:dyDescent="0.25">
      <c r="B15" s="6" t="s">
        <v>8</v>
      </c>
      <c r="C15" s="7">
        <v>-0.20230086688254001</v>
      </c>
    </row>
    <row r="16" spans="2:7" x14ac:dyDescent="0.25">
      <c r="B16" s="5" t="s">
        <v>16</v>
      </c>
      <c r="C16" s="7"/>
    </row>
    <row r="17" spans="2:3" x14ac:dyDescent="0.25">
      <c r="B17" s="6" t="s">
        <v>6</v>
      </c>
      <c r="C17" s="7">
        <v>1951923832083.8743</v>
      </c>
    </row>
    <row r="18" spans="2:3" x14ac:dyDescent="0.25">
      <c r="B18" s="6" t="s">
        <v>10</v>
      </c>
      <c r="C18" s="7">
        <v>74.872</v>
      </c>
    </row>
    <row r="19" spans="2:3" x14ac:dyDescent="0.25">
      <c r="B19" s="6" t="s">
        <v>8</v>
      </c>
      <c r="C19" s="7">
        <v>0.36018089087216898</v>
      </c>
    </row>
    <row r="20" spans="2:3" x14ac:dyDescent="0.25">
      <c r="B20" s="5" t="s">
        <v>14</v>
      </c>
      <c r="C20" s="7"/>
    </row>
    <row r="21" spans="2:3" x14ac:dyDescent="0.25">
      <c r="B21" s="6" t="s">
        <v>6</v>
      </c>
      <c r="C21" s="7">
        <v>646950257577.81396</v>
      </c>
    </row>
    <row r="22" spans="2:3" x14ac:dyDescent="0.25">
      <c r="B22" s="6" t="s">
        <v>10</v>
      </c>
      <c r="C22" s="7">
        <v>54.079000000000001</v>
      </c>
    </row>
    <row r="23" spans="2:3" x14ac:dyDescent="0.25">
      <c r="B23" s="6" t="s">
        <v>8</v>
      </c>
      <c r="C23" s="7">
        <v>2.09281687128387</v>
      </c>
    </row>
    <row r="24" spans="2:3" x14ac:dyDescent="0.25">
      <c r="B24" s="5" t="s">
        <v>27</v>
      </c>
      <c r="C24" s="7">
        <v>48624555649652.406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6088-EA60-4A89-8FE4-EB61A0A95DDF}">
  <dimension ref="A1:J20"/>
  <sheetViews>
    <sheetView workbookViewId="0">
      <selection activeCell="K21" sqref="K21"/>
    </sheetView>
  </sheetViews>
  <sheetFormatPr defaultRowHeight="15" x14ac:dyDescent="0.25"/>
  <cols>
    <col min="1" max="1" width="16.28515625" customWidth="1"/>
    <col min="2" max="2" width="17.85546875" customWidth="1"/>
  </cols>
  <sheetData>
    <row r="1" spans="1:2" x14ac:dyDescent="0.25">
      <c r="A1" t="s">
        <v>20</v>
      </c>
      <c r="B1" t="s">
        <v>0</v>
      </c>
    </row>
    <row r="2" spans="1:2" x14ac:dyDescent="0.25">
      <c r="A2" t="s">
        <v>21</v>
      </c>
      <c r="B2" s="1" t="s">
        <v>4</v>
      </c>
    </row>
    <row r="3" spans="1:2" x14ac:dyDescent="0.25">
      <c r="A3" t="s">
        <v>22</v>
      </c>
      <c r="B3" s="2" t="s">
        <v>12</v>
      </c>
    </row>
    <row r="4" spans="1:2" x14ac:dyDescent="0.25">
      <c r="A4" t="s">
        <v>23</v>
      </c>
      <c r="B4" s="1" t="s">
        <v>14</v>
      </c>
    </row>
    <row r="5" spans="1:2" x14ac:dyDescent="0.25">
      <c r="A5" t="s">
        <v>24</v>
      </c>
      <c r="B5" s="2" t="s">
        <v>16</v>
      </c>
    </row>
    <row r="6" spans="1:2" x14ac:dyDescent="0.25">
      <c r="A6" t="s">
        <v>25</v>
      </c>
      <c r="B6" s="1" t="s">
        <v>18</v>
      </c>
    </row>
    <row r="20" spans="10:10" x14ac:dyDescent="0.25">
      <c r="J20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56B239C-50A3-4D34-AA4B-03FA83C049D7}">
  <ds:schemaRefs/>
</ds:datastoreItem>
</file>

<file path=customXml/itemProps2.xml><?xml version="1.0" encoding="utf-8"?>
<ds:datastoreItem xmlns:ds="http://schemas.openxmlformats.org/officeDocument/2006/customXml" ds:itemID="{DEC7C28B-4208-41F1-9ED5-84A2AACF9AE8}">
  <ds:schemaRefs/>
</ds:datastoreItem>
</file>

<file path=customXml/itemProps3.xml><?xml version="1.0" encoding="utf-8"?>
<ds:datastoreItem xmlns:ds="http://schemas.openxmlformats.org/officeDocument/2006/customXml" ds:itemID="{835FBE2A-078B-409C-B5CA-CFBDE3B733ED}">
  <ds:schemaRefs/>
</ds:datastoreItem>
</file>

<file path=customXml/itemProps4.xml><?xml version="1.0" encoding="utf-8"?>
<ds:datastoreItem xmlns:ds="http://schemas.openxmlformats.org/officeDocument/2006/customXml" ds:itemID="{338BC65D-EC01-467A-9E56-519FED2D717D}">
  <ds:schemaRefs/>
</ds:datastoreItem>
</file>

<file path=customXml/itemProps5.xml><?xml version="1.0" encoding="utf-8"?>
<ds:datastoreItem xmlns:ds="http://schemas.openxmlformats.org/officeDocument/2006/customXml" ds:itemID="{546FDD6E-06C3-4A84-968F-4170614BB328}">
  <ds:schemaRefs/>
</ds:datastoreItem>
</file>

<file path=customXml/itemProps6.xml><?xml version="1.0" encoding="utf-8"?>
<ds:datastoreItem xmlns:ds="http://schemas.openxmlformats.org/officeDocument/2006/customXml" ds:itemID="{80F7BEC1-C6D4-490E-9132-E44558F199FF}">
  <ds:schemaRefs/>
</ds:datastoreItem>
</file>

<file path=customXml/itemProps7.xml><?xml version="1.0" encoding="utf-8"?>
<ds:datastoreItem xmlns:ds="http://schemas.openxmlformats.org/officeDocument/2006/customXml" ds:itemID="{3CDC0682-011A-42B7-B170-21A593843B63}">
  <ds:schemaRefs/>
</ds:datastoreItem>
</file>

<file path=customXml/itemProps8.xml><?xml version="1.0" encoding="utf-8"?>
<ds:datastoreItem xmlns:ds="http://schemas.openxmlformats.org/officeDocument/2006/customXml" ds:itemID="{4343254A-83A3-4BD5-9491-22918511D537}">
  <ds:schemaRefs/>
</ds:datastoreItem>
</file>

<file path=customXml/itemProps9.xml><?xml version="1.0" encoding="utf-8"?>
<ds:datastoreItem xmlns:ds="http://schemas.openxmlformats.org/officeDocument/2006/customXml" ds:itemID="{CE738404-ABBA-4FB0-A1B6-08EF97B3F851}">
  <ds:schemaRefs/>
</ds:datastoreItem>
</file>

<file path=customXml/itemProps10.xml><?xml version="1.0" encoding="utf-8"?>
<ds:datastoreItem xmlns:ds="http://schemas.openxmlformats.org/officeDocument/2006/customXml" ds:itemID="{F1E44E00-08D0-4E16-A7D9-8789062A1A77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A10739F7-36DF-4CCE-8CD7-9D3F7A0B9D9D}">
  <ds:schemaRefs/>
</ds:datastoreItem>
</file>

<file path=customXml/itemProps12.xml><?xml version="1.0" encoding="utf-8"?>
<ds:datastoreItem xmlns:ds="http://schemas.openxmlformats.org/officeDocument/2006/customXml" ds:itemID="{063F6F80-2E33-4E22-B0E6-A68FDAFD1013}">
  <ds:schemaRefs/>
</ds:datastoreItem>
</file>

<file path=customXml/itemProps13.xml><?xml version="1.0" encoding="utf-8"?>
<ds:datastoreItem xmlns:ds="http://schemas.openxmlformats.org/officeDocument/2006/customXml" ds:itemID="{739E122E-58CA-4398-B95B-7E0DDF5B437B}">
  <ds:schemaRefs/>
</ds:datastoreItem>
</file>

<file path=customXml/itemProps14.xml><?xml version="1.0" encoding="utf-8"?>
<ds:datastoreItem xmlns:ds="http://schemas.openxmlformats.org/officeDocument/2006/customXml" ds:itemID="{4AD85AC0-C9AC-46A9-8637-1B4B32D82951}">
  <ds:schemaRefs/>
</ds:datastoreItem>
</file>

<file path=customXml/itemProps15.xml><?xml version="1.0" encoding="utf-8"?>
<ds:datastoreItem xmlns:ds="http://schemas.openxmlformats.org/officeDocument/2006/customXml" ds:itemID="{4D270793-B239-4125-9377-27482BE0F0E4}">
  <ds:schemaRefs/>
</ds:datastoreItem>
</file>

<file path=customXml/itemProps16.xml><?xml version="1.0" encoding="utf-8"?>
<ds:datastoreItem xmlns:ds="http://schemas.openxmlformats.org/officeDocument/2006/customXml" ds:itemID="{CB09040D-BB01-4903-B1DB-609B0CA82E92}">
  <ds:schemaRefs/>
</ds:datastoreItem>
</file>

<file path=customXml/itemProps17.xml><?xml version="1.0" encoding="utf-8"?>
<ds:datastoreItem xmlns:ds="http://schemas.openxmlformats.org/officeDocument/2006/customXml" ds:itemID="{5C325E45-F046-47F7-9FBB-DB1261E600B9}">
  <ds:schemaRefs/>
</ds:datastoreItem>
</file>

<file path=customXml/itemProps18.xml><?xml version="1.0" encoding="utf-8"?>
<ds:datastoreItem xmlns:ds="http://schemas.openxmlformats.org/officeDocument/2006/customXml" ds:itemID="{E4C4B1EF-0093-46B4-BFB2-F6817FB2B925}">
  <ds:schemaRefs/>
</ds:datastoreItem>
</file>

<file path=customXml/itemProps19.xml><?xml version="1.0" encoding="utf-8"?>
<ds:datastoreItem xmlns:ds="http://schemas.openxmlformats.org/officeDocument/2006/customXml" ds:itemID="{0D57C6F0-3D6B-41D1-997E-90294F20D2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Data</vt:lpstr>
      <vt:lpstr>Media x Continente</vt:lpstr>
      <vt:lpstr>Foglio5</vt:lpstr>
      <vt:lpstr>Continenti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Rachele Ticconi</dc:creator>
  <cp:lastModifiedBy>Rachele Ticconi</cp:lastModifiedBy>
  <dcterms:created xsi:type="dcterms:W3CDTF">2026-03-21T16:05:43Z</dcterms:created>
  <dcterms:modified xsi:type="dcterms:W3CDTF">2026-03-21T18:45:42Z</dcterms:modified>
</cp:coreProperties>
</file>
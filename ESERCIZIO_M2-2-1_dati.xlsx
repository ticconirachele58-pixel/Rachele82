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9A46E3AE-17B1-48BB-BD76-B2F1BC4178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otti" sheetId="1" r:id="rId1"/>
  </sheets>
  <definedNames>
    <definedName name="_xlnm.Print_Area" localSheetId="0">Prodotti!$A$1:$E$11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E3" i="1"/>
  <c r="E4" i="1"/>
  <c r="E5" i="1"/>
  <c r="E6" i="1"/>
  <c r="E7" i="1"/>
  <c r="E8" i="1"/>
  <c r="E9" i="1"/>
  <c r="E10" i="1"/>
  <c r="E11" i="1"/>
  <c r="F11" i="1" s="1"/>
  <c r="E2" i="1"/>
  <c r="F3" i="1" l="1"/>
  <c r="F5" i="1"/>
  <c r="F2" i="1"/>
  <c r="F7" i="1"/>
  <c r="F8" i="1"/>
  <c r="F10" i="1"/>
  <c r="F4" i="1"/>
  <c r="F6" i="1"/>
  <c r="F9" i="1"/>
</calcChain>
</file>

<file path=xl/sharedStrings.xml><?xml version="1.0" encoding="utf-8"?>
<sst xmlns="http://schemas.openxmlformats.org/spreadsheetml/2006/main" count="43" uniqueCount="33">
  <si>
    <t>Azienda</t>
  </si>
  <si>
    <t>Prodotto</t>
  </si>
  <si>
    <t>Quantità</t>
  </si>
  <si>
    <t>Prezzo</t>
  </si>
  <si>
    <t>Totale</t>
  </si>
  <si>
    <t>TOT SPESE AZIENDA</t>
  </si>
  <si>
    <t>nomi azienda</t>
  </si>
  <si>
    <t>tot aziend raggr.</t>
  </si>
  <si>
    <t>Tech Innovations Ltd,</t>
  </si>
  <si>
    <t>Tecnologia</t>
  </si>
  <si>
    <t>€15,75</t>
  </si>
  <si>
    <t>Cibo</t>
  </si>
  <si>
    <t>€8,50</t>
  </si>
  <si>
    <t>SolarTech Solutions</t>
  </si>
  <si>
    <t>Pannelli</t>
  </si>
  <si>
    <t>€12,25</t>
  </si>
  <si>
    <t>AquaLux Dynamics</t>
  </si>
  <si>
    <t>Quanti</t>
  </si>
  <si>
    <t>€25,00</t>
  </si>
  <si>
    <t>EcoVibe Solutions</t>
  </si>
  <si>
    <t>Infinito</t>
  </si>
  <si>
    <t>€6,50</t>
  </si>
  <si>
    <t>Crema</t>
  </si>
  <si>
    <t>€18,75</t>
  </si>
  <si>
    <t>Acqua</t>
  </si>
  <si>
    <t>€14,00</t>
  </si>
  <si>
    <t>Orizzonte</t>
  </si>
  <si>
    <t>€10,50</t>
  </si>
  <si>
    <t>Pianeta</t>
  </si>
  <si>
    <t>€20,00</t>
  </si>
  <si>
    <t>Vibrazione</t>
  </si>
  <si>
    <t>€13,50</t>
  </si>
  <si>
    <t>qui ci sono doppioni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</si>
</sst>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8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1" fillId="0" borderId="0" xfId="0" applyNumberFormat="1" applyFont="1" applyAlignment="1"/>
    <xf numFmtId="164" fontId="0" fillId="0" borderId="0" xfId="0" applyNumberFormat="1" applyFont="1" applyAlignme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spesa x azienda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Prodotti!$G$2:$G$5</c:f>
              <c:strCache>
                <c:ptCount val="4"/>
                <c:pt idx="0">
                  <c:v>Tech Innovations Ltd,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Prodotti!$H$2:$H$5</c:f>
              <c:numCache>
                <c:formatCode>General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2-4F2C-8083-4756113A9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209927"/>
        <c:axId val="282463751"/>
      </c:barChart>
      <c:catAx>
        <c:axId val="73620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63751"/>
        <c:crosses val="autoZero"/>
        <c:auto val="1"/>
        <c:lblAlgn val="ctr"/>
        <c:lblOffset val="100"/>
        <c:noMultiLvlLbl val="0"/>
      </c:catAx>
      <c:valAx>
        <c:axId val="28246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0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spesa x azienda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Prodotti!$G$2:$G$5</c:f>
              <c:strCache>
                <c:ptCount val="4"/>
                <c:pt idx="0">
                  <c:v>Tech Innovations Ltd,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Prodotti!$H$2:$H$5</c:f>
              <c:numCache>
                <c:formatCode>General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D-4B25-BDE6-225ABD946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spesa prodotti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3-47AC-83CC-265C86B8F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494471"/>
        <c:axId val="282496519"/>
      </c:barChart>
      <c:catAx>
        <c:axId val="282494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96519"/>
        <c:crosses val="autoZero"/>
        <c:auto val="1"/>
        <c:lblAlgn val="ctr"/>
        <c:lblOffset val="100"/>
        <c:noMultiLvlLbl val="0"/>
      </c:catAx>
      <c:valAx>
        <c:axId val="282496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94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spesa prodotti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F-40D8-8587-E18EA9630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1219200</xdr:colOff>
      <xdr:row>21</xdr:row>
      <xdr:rowOff>171450</xdr:rowOff>
    </xdr:from>
    <xdr:to>
      <xdr:col>7</xdr:col>
      <xdr:colOff>676275</xdr:colOff>
      <xdr:row>35</xdr:row>
      <xdr:rowOff>114300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7F42DA6-53B6-784F-A6C5-52E756BB1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466725</xdr:colOff>
      <xdr:row>19</xdr:row>
      <xdr:rowOff>152400</xdr:rowOff>
    </xdr:from>
    <xdr:to>
      <xdr:col>3</xdr:col>
      <xdr:colOff>733425</xdr:colOff>
      <xdr:row>33</xdr:row>
      <xdr:rowOff>95250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975E6E3-0628-289C-5B8D-90BBCDF7CCCC}"/>
            </a:ext>
            <a:ext uri="{147F2762-F138-4A5C-976F-8EAC2B608ADB}">
              <a16:predDERef xmlns:a16="http://schemas.microsoft.com/office/drawing/2014/main" pred="{B7F42DA6-53B6-784F-A6C5-52E756BB1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1076325</xdr:colOff>
      <xdr:row>38</xdr:row>
      <xdr:rowOff>152400</xdr:rowOff>
    </xdr:from>
    <xdr:to>
      <xdr:col>7</xdr:col>
      <xdr:colOff>533400</xdr:colOff>
      <xdr:row>52</xdr:row>
      <xdr:rowOff>95250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108D6C0B-07E8-0D7B-0149-A699502EF262}"/>
            </a:ext>
            <a:ext uri="{147F2762-F138-4A5C-976F-8EAC2B608ADB}">
              <a16:predDERef xmlns:a16="http://schemas.microsoft.com/office/drawing/2014/main" pred="{0975E6E3-0628-289C-5B8D-90BBCDF7C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485775</xdr:colOff>
      <xdr:row>38</xdr:row>
      <xdr:rowOff>171450</xdr:rowOff>
    </xdr:from>
    <xdr:to>
      <xdr:col>3</xdr:col>
      <xdr:colOff>752475</xdr:colOff>
      <xdr:row>52</xdr:row>
      <xdr:rowOff>114300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9AD7591B-F6F1-0C4A-2514-D524321B6976}"/>
            </a:ext>
            <a:ext uri="{147F2762-F138-4A5C-976F-8EAC2B608ADB}">
              <a16:predDERef xmlns:a16="http://schemas.microsoft.com/office/drawing/2014/main" pred="{108D6C0B-07E8-0D7B-0149-A699502EF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3"/>
  <sheetViews>
    <sheetView tabSelected="1" workbookViewId="0">
      <selection activeCell="L61" sqref="L61"/>
    </sheetView>
  </sheetViews>
  <sheetFormatPr defaultColWidth="12.5703125" defaultRowHeight="15.75" customHeight="1"/>
  <cols>
    <col min="1" max="1" width="19.7109375" customWidth="1"/>
    <col min="2" max="3" width="22.42578125" customWidth="1"/>
    <col min="4" max="4" width="24" customWidth="1"/>
    <col min="5" max="5" width="15.28515625" style="5" customWidth="1"/>
    <col min="6" max="6" width="17.42578125" customWidth="1"/>
    <col min="7" max="7" width="20" customWidth="1"/>
    <col min="8" max="8" width="21.85546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6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8</v>
      </c>
      <c r="B2" s="3" t="s">
        <v>9</v>
      </c>
      <c r="C2" s="3">
        <v>500</v>
      </c>
      <c r="D2" s="3" t="s">
        <v>10</v>
      </c>
      <c r="E2" s="5">
        <f>C2*D2</f>
        <v>7875</v>
      </c>
      <c r="F2">
        <f>SUMIF(A:A,A2,E:E)</f>
        <v>25575</v>
      </c>
      <c r="G2" s="3" t="s">
        <v>8</v>
      </c>
      <c r="H2">
        <f>SUMIF(A:A,G2,E:E)</f>
        <v>25575</v>
      </c>
    </row>
    <row r="3" spans="1:26" ht="12.75">
      <c r="A3" s="3" t="s">
        <v>8</v>
      </c>
      <c r="B3" s="3" t="s">
        <v>11</v>
      </c>
      <c r="C3" s="3">
        <v>1200</v>
      </c>
      <c r="D3" s="3" t="s">
        <v>12</v>
      </c>
      <c r="E3" s="5">
        <f t="shared" ref="E3:E11" si="0">C3*D3</f>
        <v>10200</v>
      </c>
      <c r="F3">
        <f t="shared" ref="F3:F11" si="1">SUMIF(A:A,A3,E:E)</f>
        <v>25575</v>
      </c>
      <c r="G3" s="3" t="s">
        <v>13</v>
      </c>
      <c r="H3">
        <f t="shared" ref="H3:H11" si="2">SUMIF(A:A,G3,E:E)</f>
        <v>31100</v>
      </c>
    </row>
    <row r="4" spans="1:26" ht="12.75">
      <c r="A4" s="3" t="s">
        <v>13</v>
      </c>
      <c r="B4" s="3" t="s">
        <v>14</v>
      </c>
      <c r="C4" s="3">
        <v>800</v>
      </c>
      <c r="D4" s="3" t="s">
        <v>15</v>
      </c>
      <c r="E4" s="5">
        <f t="shared" si="0"/>
        <v>9800</v>
      </c>
      <c r="F4">
        <f t="shared" si="1"/>
        <v>31100</v>
      </c>
      <c r="G4" s="3" t="s">
        <v>16</v>
      </c>
      <c r="H4">
        <f t="shared" si="2"/>
        <v>37725</v>
      </c>
    </row>
    <row r="5" spans="1:26" ht="12.75">
      <c r="A5" s="3" t="s">
        <v>8</v>
      </c>
      <c r="B5" s="3" t="s">
        <v>17</v>
      </c>
      <c r="C5" s="3">
        <v>300</v>
      </c>
      <c r="D5" s="3" t="s">
        <v>18</v>
      </c>
      <c r="E5" s="5">
        <f t="shared" si="0"/>
        <v>7500</v>
      </c>
      <c r="F5">
        <f t="shared" si="1"/>
        <v>25575</v>
      </c>
      <c r="G5" s="3" t="s">
        <v>19</v>
      </c>
      <c r="H5">
        <f t="shared" si="2"/>
        <v>13500</v>
      </c>
    </row>
    <row r="6" spans="1:26">
      <c r="A6" s="3" t="s">
        <v>13</v>
      </c>
      <c r="B6" s="3" t="s">
        <v>20</v>
      </c>
      <c r="C6" s="3">
        <v>1500</v>
      </c>
      <c r="D6" s="3" t="s">
        <v>21</v>
      </c>
      <c r="E6" s="5">
        <f t="shared" si="0"/>
        <v>9750</v>
      </c>
      <c r="F6">
        <f t="shared" si="1"/>
        <v>31100</v>
      </c>
      <c r="H6">
        <f t="shared" si="2"/>
        <v>0</v>
      </c>
    </row>
    <row r="7" spans="1:26">
      <c r="A7" s="3" t="s">
        <v>16</v>
      </c>
      <c r="B7" s="3" t="s">
        <v>22</v>
      </c>
      <c r="C7" s="3">
        <v>700</v>
      </c>
      <c r="D7" s="3" t="s">
        <v>23</v>
      </c>
      <c r="E7" s="5">
        <f t="shared" si="0"/>
        <v>13125</v>
      </c>
      <c r="F7">
        <f t="shared" si="1"/>
        <v>37725</v>
      </c>
      <c r="H7">
        <f t="shared" si="2"/>
        <v>0</v>
      </c>
    </row>
    <row r="8" spans="1:26">
      <c r="A8" s="3" t="s">
        <v>16</v>
      </c>
      <c r="B8" s="3" t="s">
        <v>24</v>
      </c>
      <c r="C8" s="3">
        <v>900</v>
      </c>
      <c r="D8" s="3" t="s">
        <v>25</v>
      </c>
      <c r="E8" s="5">
        <f t="shared" si="0"/>
        <v>12600</v>
      </c>
      <c r="F8">
        <f t="shared" si="1"/>
        <v>37725</v>
      </c>
      <c r="H8">
        <f t="shared" si="2"/>
        <v>0</v>
      </c>
    </row>
    <row r="9" spans="1:26">
      <c r="A9" s="3" t="s">
        <v>13</v>
      </c>
      <c r="B9" s="3" t="s">
        <v>26</v>
      </c>
      <c r="C9" s="3">
        <v>1100</v>
      </c>
      <c r="D9" s="3" t="s">
        <v>27</v>
      </c>
      <c r="E9" s="5">
        <f t="shared" si="0"/>
        <v>11550</v>
      </c>
      <c r="F9">
        <f t="shared" si="1"/>
        <v>31100</v>
      </c>
      <c r="H9">
        <f t="shared" si="2"/>
        <v>0</v>
      </c>
    </row>
    <row r="10" spans="1:26">
      <c r="A10" s="3" t="s">
        <v>16</v>
      </c>
      <c r="B10" s="3" t="s">
        <v>28</v>
      </c>
      <c r="C10" s="3">
        <v>600</v>
      </c>
      <c r="D10" s="3" t="s">
        <v>29</v>
      </c>
      <c r="E10" s="5">
        <f t="shared" si="0"/>
        <v>12000</v>
      </c>
      <c r="F10">
        <f t="shared" si="1"/>
        <v>37725</v>
      </c>
      <c r="H10">
        <f t="shared" si="2"/>
        <v>0</v>
      </c>
    </row>
    <row r="11" spans="1:26">
      <c r="A11" s="3" t="s">
        <v>19</v>
      </c>
      <c r="B11" s="3" t="s">
        <v>30</v>
      </c>
      <c r="C11" s="3">
        <v>1000</v>
      </c>
      <c r="D11" s="3" t="s">
        <v>31</v>
      </c>
      <c r="E11" s="5">
        <f t="shared" si="0"/>
        <v>13500</v>
      </c>
      <c r="F11">
        <f t="shared" si="1"/>
        <v>13500</v>
      </c>
      <c r="H11">
        <f t="shared" si="2"/>
        <v>0</v>
      </c>
    </row>
    <row r="13" spans="1:26" ht="15.75" customHeight="1">
      <c r="F13" t="s">
        <v>32</v>
      </c>
    </row>
  </sheetData>
  <printOptions headings="1"/>
  <pageMargins left="0.25" right="0.25" top="0.75" bottom="0.75" header="0.3" footer="0.3"/>
  <pageSetup paperSize="9" orientation="portrait"/>
  <rowBreaks count="3" manualBreakCount="3">
    <brk id="18" max="16383" man="1"/>
    <brk id="36" max="16383" man="1"/>
    <brk id="55" max="16383" man="1"/>
  </rowBreaks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2026-02-23T14:31:10Z</dcterms:created>
  <dcterms:modified xsi:type="dcterms:W3CDTF">2026-02-25T19:01:49Z</dcterms:modified>
  <cp:category/>
  <cp:contentStatus/>
</cp:coreProperties>
</file>